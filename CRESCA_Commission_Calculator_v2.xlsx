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dor de Clientes" sheetId="1" state="visible" r:id="rId1"/>
    <sheet xmlns:r="http://schemas.openxmlformats.org/officeDocument/2006/relationships" name="Calculadora de Comisiones" sheetId="2" state="visible" r:id="rId2"/>
    <sheet xmlns:r="http://schemas.openxmlformats.org/officeDocument/2006/relationships" name="Referencia de Paqu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A1A2E"/>
      <sz val="14"/>
    </font>
    <font>
      <i val="1"/>
      <sz val="11"/>
    </font>
    <font>
      <i val="1"/>
      <color rgb="00666666"/>
      <sz val="9"/>
    </font>
    <font>
      <b val="1"/>
      <color rgb="00FFFFFF"/>
      <sz val="11"/>
    </font>
    <font>
      <b val="1"/>
      <sz val="11"/>
    </font>
    <font>
      <b val="1"/>
      <sz val="12"/>
    </font>
    <font>
      <b val="1"/>
      <color rgb="0010B98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5FF"/>
        <bgColor rgb="00EBF5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5" fillId="0" borderId="0" pivotButton="0" quotePrefix="0" xfId="0"/>
    <xf numFmtId="164" fontId="5" fillId="5" borderId="1" pivotButton="0" quotePrefix="0" xfId="0"/>
    <xf numFmtId="0" fontId="0" fillId="3" borderId="0" pivotButton="0" quotePrefix="0" xfId="0"/>
    <xf numFmtId="164" fontId="0" fillId="3" borderId="0" pivotButton="0" quotePrefix="0" xfId="0"/>
    <xf numFmtId="0" fontId="5" fillId="0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6" fillId="0" borderId="1" pivotButton="0" quotePrefix="0" xfId="0"/>
    <xf numFmtId="164" fontId="7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CRESCA — Cotizador de Clientes (3-Tier Model)</t>
        </is>
      </c>
    </row>
    <row r="2">
      <c r="A2" s="2" t="inlineStr">
        <is>
          <t>Sistemas de Crecimiento Empresarial</t>
        </is>
      </c>
    </row>
    <row r="3">
      <c r="A3" s="3" t="inlineStr">
        <is>
          <t>Selecciona los servicios para generar la cotización automática.</t>
        </is>
      </c>
    </row>
    <row r="5">
      <c r="A5" s="4" t="inlineStr">
        <is>
          <t>Paquete / Tier</t>
        </is>
      </c>
      <c r="B5" s="4" t="inlineStr">
        <is>
          <t>Setup Fee ($)</t>
        </is>
      </c>
      <c r="C5" s="4" t="inlineStr">
        <is>
          <t>Cuota Mensual ($)</t>
        </is>
      </c>
      <c r="D5" s="4" t="inlineStr">
        <is>
          <t>Tipo</t>
        </is>
      </c>
      <c r="E5" s="4" t="inlineStr">
        <is>
          <t>¿Incluir?</t>
        </is>
      </c>
      <c r="F5" s="4" t="inlineStr">
        <is>
          <t>Comisión Setup ($)</t>
        </is>
      </c>
      <c r="G5" s="4" t="inlineStr">
        <is>
          <t>Comisión Residual ($/mes)</t>
        </is>
      </c>
      <c r="H5" s="4" t="inlineStr">
        <is>
          <t>Ingreso Total 12m ($)</t>
        </is>
      </c>
    </row>
    <row r="6">
      <c r="A6" s="5" t="inlineStr">
        <is>
          <t>STARTER — DIY Lite</t>
        </is>
      </c>
      <c r="B6" s="6" t="n">
        <v>0</v>
      </c>
      <c r="C6" s="6" t="n">
        <v>9.99</v>
      </c>
      <c r="D6" s="5" t="inlineStr">
        <is>
          <t>Starter</t>
        </is>
      </c>
      <c r="E6" s="7" t="inlineStr">
        <is>
          <t>No</t>
        </is>
      </c>
      <c r="F6" s="8">
        <f>IF(UPPER(E6)="SI",B6*0.20,IF(UPPER(E6)="SÍ",B6*0.20,0))</f>
        <v/>
      </c>
      <c r="G6" s="8">
        <f>IF(UPPER(E6)="SI",C6*0.06,IF(UPPER(E6)="SÍ",C6*0.06,0))</f>
        <v/>
      </c>
      <c r="H6" s="8">
        <f>IF(UPPER(E6)="SI",F6+G6*12,IF(UPPER(E6)="SÍ",F6+G6*12,0))</f>
        <v/>
      </c>
    </row>
    <row r="7">
      <c r="A7" s="5" t="inlineStr">
        <is>
          <t>STARTER — Starter Assist</t>
        </is>
      </c>
      <c r="B7" s="6" t="n">
        <v>25</v>
      </c>
      <c r="C7" s="6" t="n">
        <v>19.99</v>
      </c>
      <c r="D7" s="5" t="inlineStr">
        <is>
          <t>Starter</t>
        </is>
      </c>
      <c r="E7" s="7" t="inlineStr">
        <is>
          <t>No</t>
        </is>
      </c>
      <c r="F7" s="8">
        <f>IF(UPPER(E7)="SI",B7*0.20,IF(UPPER(E7)="SÍ",B7*0.20,0))</f>
        <v/>
      </c>
      <c r="G7" s="8">
        <f>IF(UPPER(E7)="SI",C7*0.06,IF(UPPER(E7)="SÍ",C7*0.06,0))</f>
        <v/>
      </c>
      <c r="H7" s="8">
        <f>IF(UPPER(E7)="SI",F7+G7*12,IF(UPPER(E7)="SÍ",F7+G7*12,0))</f>
        <v/>
      </c>
    </row>
    <row r="8">
      <c r="A8" s="5" t="inlineStr">
        <is>
          <t>STARTER — Starter Presence</t>
        </is>
      </c>
      <c r="B8" s="6" t="n">
        <v>75</v>
      </c>
      <c r="C8" s="6" t="n">
        <v>29.99</v>
      </c>
      <c r="D8" s="5" t="inlineStr">
        <is>
          <t>Starter</t>
        </is>
      </c>
      <c r="E8" s="7" t="inlineStr">
        <is>
          <t>No</t>
        </is>
      </c>
      <c r="F8" s="8">
        <f>IF(UPPER(E8)="SI",B8*0.20,IF(UPPER(E8)="SÍ",B8*0.20,0))</f>
        <v/>
      </c>
      <c r="G8" s="8">
        <f>IF(UPPER(E8)="SI",C8*0.06,IF(UPPER(E8)="SÍ",C8*0.06,0))</f>
        <v/>
      </c>
      <c r="H8" s="8">
        <f>IF(UPPER(E8)="SI",F8+G8*12,IF(UPPER(E8)="SÍ",F8+G8*12,0))</f>
        <v/>
      </c>
    </row>
    <row r="9">
      <c r="A9" s="5" t="inlineStr">
        <is>
          <t>STARTER — Starter Pro</t>
        </is>
      </c>
      <c r="B9" s="6" t="n">
        <v>150</v>
      </c>
      <c r="C9" s="6" t="n">
        <v>49.99</v>
      </c>
      <c r="D9" s="5" t="inlineStr">
        <is>
          <t>Starter</t>
        </is>
      </c>
      <c r="E9" s="7" t="inlineStr">
        <is>
          <t>No</t>
        </is>
      </c>
      <c r="F9" s="8">
        <f>IF(UPPER(E9)="SI",B9*0.20,IF(UPPER(E9)="SÍ",B9*0.20,0))</f>
        <v/>
      </c>
      <c r="G9" s="8">
        <f>IF(UPPER(E9)="SI",C9*0.06,IF(UPPER(E9)="SÍ",C9*0.06,0))</f>
        <v/>
      </c>
      <c r="H9" s="8">
        <f>IF(UPPER(E9)="SI",F9+G9*12,IF(UPPER(E9)="SÍ",F9+G9*12,0))</f>
        <v/>
      </c>
    </row>
    <row r="10">
      <c r="A10" s="5" t="inlineStr">
        <is>
          <t>GROWTH — Foundation</t>
        </is>
      </c>
      <c r="B10" s="6" t="n">
        <v>250</v>
      </c>
      <c r="C10" s="6" t="n">
        <v>50</v>
      </c>
      <c r="D10" s="5" t="inlineStr">
        <is>
          <t>Growth</t>
        </is>
      </c>
      <c r="E10" s="7" t="inlineStr">
        <is>
          <t>No</t>
        </is>
      </c>
      <c r="F10" s="8">
        <f>IF(UPPER(E10)="SI",B10*0.20,IF(UPPER(E10)="SÍ",B10*0.20,0))</f>
        <v/>
      </c>
      <c r="G10" s="8">
        <f>IF(UPPER(E10)="SI",C10*0.06,IF(UPPER(E10)="SÍ",C10*0.06,0))</f>
        <v/>
      </c>
      <c r="H10" s="8">
        <f>IF(UPPER(E10)="SI",F10+G10*12,IF(UPPER(E10)="SÍ",F10+G10*12,0))</f>
        <v/>
      </c>
    </row>
    <row r="11">
      <c r="A11" s="5" t="inlineStr">
        <is>
          <t>GROWTH — Foundation +1 WF</t>
        </is>
      </c>
      <c r="B11" s="6" t="n">
        <v>350</v>
      </c>
      <c r="C11" s="6" t="n">
        <v>75</v>
      </c>
      <c r="D11" s="5" t="inlineStr">
        <is>
          <t>Growth</t>
        </is>
      </c>
      <c r="E11" s="7" t="inlineStr">
        <is>
          <t>No</t>
        </is>
      </c>
      <c r="F11" s="8">
        <f>IF(UPPER(E11)="SI",B11*0.20,IF(UPPER(E11)="SÍ",B11*0.20,0))</f>
        <v/>
      </c>
      <c r="G11" s="8">
        <f>IF(UPPER(E11)="SI",C11*0.06,IF(UPPER(E11)="SÍ",C11*0.06,0))</f>
        <v/>
      </c>
      <c r="H11" s="8">
        <f>IF(UPPER(E11)="SI",F11+G11*12,IF(UPPER(E11)="SÍ",F11+G11*12,0))</f>
        <v/>
      </c>
    </row>
    <row r="12">
      <c r="A12" s="5" t="inlineStr">
        <is>
          <t>GROWTH — Foundation +2 WF</t>
        </is>
      </c>
      <c r="B12" s="6" t="n">
        <v>450</v>
      </c>
      <c r="C12" s="6" t="n">
        <v>100</v>
      </c>
      <c r="D12" s="5" t="inlineStr">
        <is>
          <t>Growth</t>
        </is>
      </c>
      <c r="E12" s="7" t="inlineStr">
        <is>
          <t>No</t>
        </is>
      </c>
      <c r="F12" s="8">
        <f>IF(UPPER(E12)="SI",B12*0.20,IF(UPPER(E12)="SÍ",B12*0.20,0))</f>
        <v/>
      </c>
      <c r="G12" s="8">
        <f>IF(UPPER(E12)="SI",C12*0.06,IF(UPPER(E12)="SÍ",C12*0.06,0))</f>
        <v/>
      </c>
      <c r="H12" s="8">
        <f>IF(UPPER(E12)="SI",F12+G12*12,IF(UPPER(E12)="SÍ",F12+G12*12,0))</f>
        <v/>
      </c>
    </row>
    <row r="13">
      <c r="A13" s="5" t="inlineStr">
        <is>
          <t>PRO AUTOMATION (promedio)</t>
        </is>
      </c>
      <c r="B13" s="6" t="n">
        <v>1500</v>
      </c>
      <c r="C13" s="6" t="n">
        <v>500</v>
      </c>
      <c r="D13" s="5" t="inlineStr">
        <is>
          <t>Pro</t>
        </is>
      </c>
      <c r="E13" s="7" t="inlineStr">
        <is>
          <t>No</t>
        </is>
      </c>
      <c r="F13" s="8">
        <f>IF(UPPER(E13)="SI",B13*0.20,IF(UPPER(E13)="SÍ",B13*0.20,0))</f>
        <v/>
      </c>
      <c r="G13" s="8">
        <f>IF(UPPER(E13)="SI",C13*0.06,IF(UPPER(E13)="SÍ",C13*0.06,0))</f>
        <v/>
      </c>
      <c r="H13" s="8">
        <f>IF(UPPER(E13)="SI",F13+G13*12,IF(UPPER(E13)="SÍ",F13+G13*12,0))</f>
        <v/>
      </c>
    </row>
    <row r="14">
      <c r="A14" s="5" t="inlineStr">
        <is>
          <t>Add-On: Marketing Digital</t>
        </is>
      </c>
      <c r="B14" s="6" t="n">
        <v>200</v>
      </c>
      <c r="C14" s="6" t="n">
        <v>250</v>
      </c>
      <c r="D14" s="5" t="inlineStr">
        <is>
          <t>Add-On</t>
        </is>
      </c>
      <c r="E14" s="7" t="inlineStr">
        <is>
          <t>No</t>
        </is>
      </c>
      <c r="F14" s="8">
        <f>IF(UPPER(E14)="SI",B14*0.20,IF(UPPER(E14)="SÍ",B14*0.20,0))</f>
        <v/>
      </c>
      <c r="G14" s="8">
        <f>IF(UPPER(E14)="SI",C14*0.06,IF(UPPER(E14)="SÍ",C14*0.06,0))</f>
        <v/>
      </c>
      <c r="H14" s="8">
        <f>IF(UPPER(E14)="SI",F14+G14*12,IF(UPPER(E14)="SÍ",F14+G14*12,0))</f>
        <v/>
      </c>
    </row>
    <row r="15">
      <c r="A15" s="5" t="inlineStr">
        <is>
          <t>Add-On: Workflows (+2)</t>
        </is>
      </c>
      <c r="B15" s="6" t="n">
        <v>0</v>
      </c>
      <c r="C15" s="6" t="n">
        <v>25</v>
      </c>
      <c r="D15" s="5" t="inlineStr">
        <is>
          <t>Add-On</t>
        </is>
      </c>
      <c r="E15" s="7" t="inlineStr">
        <is>
          <t>No</t>
        </is>
      </c>
      <c r="F15" s="8">
        <f>IF(UPPER(E15)="SI",B15*0.20,IF(UPPER(E15)="SÍ",B15*0.20,0))</f>
        <v/>
      </c>
      <c r="G15" s="8">
        <f>IF(UPPER(E15)="SI",C15*0.06,IF(UPPER(E15)="SÍ",C15*0.06,0))</f>
        <v/>
      </c>
      <c r="H15" s="8">
        <f>IF(UPPER(E15)="SI",F15+G15*12,IF(UPPER(E15)="SÍ",F15+G15*12,0))</f>
        <v/>
      </c>
    </row>
    <row r="16">
      <c r="A16" s="5" t="inlineStr">
        <is>
          <t>Add-On: Workflows (+5)</t>
        </is>
      </c>
      <c r="B16" s="6" t="n">
        <v>0</v>
      </c>
      <c r="C16" s="6" t="n">
        <v>60</v>
      </c>
      <c r="D16" s="5" t="inlineStr">
        <is>
          <t>Add-On</t>
        </is>
      </c>
      <c r="E16" s="7" t="inlineStr">
        <is>
          <t>No</t>
        </is>
      </c>
      <c r="F16" s="8">
        <f>IF(UPPER(E16)="SI",B16*0.20,IF(UPPER(E16)="SÍ",B16*0.20,0))</f>
        <v/>
      </c>
      <c r="G16" s="8">
        <f>IF(UPPER(E16)="SI",C16*0.06,IF(UPPER(E16)="SÍ",C16*0.06,0))</f>
        <v/>
      </c>
      <c r="H16" s="8">
        <f>IF(UPPER(E16)="SI",F16+G16*12,IF(UPPER(E16)="SÍ",F16+G16*12,0))</f>
        <v/>
      </c>
    </row>
    <row r="17">
      <c r="A17" s="5" t="inlineStr">
        <is>
          <t>Add-On: Workflows (+8)</t>
        </is>
      </c>
      <c r="B17" s="6" t="n">
        <v>0</v>
      </c>
      <c r="C17" s="6" t="n">
        <v>90</v>
      </c>
      <c r="D17" s="5" t="inlineStr">
        <is>
          <t>Add-On</t>
        </is>
      </c>
      <c r="E17" s="7" t="inlineStr">
        <is>
          <t>No</t>
        </is>
      </c>
      <c r="F17" s="8">
        <f>IF(UPPER(E17)="SI",B17*0.20,IF(UPPER(E17)="SÍ",B17*0.20,0))</f>
        <v/>
      </c>
      <c r="G17" s="8">
        <f>IF(UPPER(E17)="SI",C17*0.06,IF(UPPER(E17)="SÍ",C17*0.06,0))</f>
        <v/>
      </c>
      <c r="H17" s="8">
        <f>IF(UPPER(E17)="SI",F17+G17*12,IF(UPPER(E17)="SÍ",F17+G17*12,0))</f>
        <v/>
      </c>
    </row>
    <row r="19">
      <c r="A19" s="9" t="inlineStr">
        <is>
          <t>📊 TOTALES DE LA COTIZACIÓN</t>
        </is>
      </c>
      <c r="B19" s="10">
        <f>SUMPRODUCT((UPPER(E6:E17)="SÍ")*B6:B17)+SUMPRODUCT((UPPER(E6:E17)="SI")*B6:B17)</f>
        <v/>
      </c>
      <c r="C19" s="10">
        <f>SUMPRODUCT((UPPER(E6:E17)="SÍ")*C6:C17)+SUMPRODUCT((UPPER(E6:E17)="SI")*C6:C17)</f>
        <v/>
      </c>
      <c r="F19" s="10">
        <f>SUM(F6:F17)</f>
        <v/>
      </c>
      <c r="G19" s="10">
        <f>SUM(G6:G17)</f>
        <v/>
      </c>
      <c r="H19" s="10">
        <f>SUM(H6:H17)</f>
        <v/>
      </c>
    </row>
    <row r="21">
      <c r="A21" s="9" t="inlineStr">
        <is>
          <t>📝 RESUMEN PARA EL CLIENTE</t>
        </is>
      </c>
    </row>
    <row r="22">
      <c r="A22" s="5" t="inlineStr">
        <is>
          <t>Inversión Inicial (Setup Fee):</t>
        </is>
      </c>
      <c r="C22" s="8">
        <f>B19</f>
        <v/>
      </c>
    </row>
    <row r="23">
      <c r="A23" s="5" t="inlineStr">
        <is>
          <t>Cuota Mensual Total:</t>
        </is>
      </c>
      <c r="C23" s="8">
        <f>C19</f>
        <v/>
      </c>
    </row>
    <row r="25">
      <c r="A25" s="9" t="inlineStr">
        <is>
          <t>💰 TUS GANANCIAS (Rep Fundador ES)</t>
        </is>
      </c>
    </row>
    <row r="26">
      <c r="A26" s="5" t="inlineStr">
        <is>
          <t>Salario Base:</t>
        </is>
      </c>
      <c r="C26" s="8" t="n">
        <v>600</v>
      </c>
    </row>
    <row r="27">
      <c r="A27" s="5" t="inlineStr">
        <is>
          <t>Comisión de Setup (20%):</t>
        </is>
      </c>
      <c r="C27" s="8">
        <f>F19</f>
        <v/>
      </c>
    </row>
    <row r="28">
      <c r="A28" s="5" t="inlineStr">
        <is>
          <t>Comisión Residual Mensual (6%):</t>
        </is>
      </c>
      <c r="C28" s="8">
        <f>G19</f>
        <v/>
      </c>
    </row>
    <row r="29">
      <c r="A29" s="5" t="inlineStr">
        <is>
          <t>Total Mes 1 (Base + Setup + Residual):</t>
        </is>
      </c>
      <c r="C29" s="8">
        <f>600+F19+G19</f>
        <v/>
      </c>
    </row>
    <row r="31">
      <c r="A31" s="9" t="inlineStr">
        <is>
          <t>⚠️ REGLAS DE COMPENSACIÓN</t>
        </is>
      </c>
    </row>
    <row r="32">
      <c r="A32" s="5" t="inlineStr">
        <is>
          <t>• Salario base: $600/mes (garantizado)</t>
        </is>
      </c>
    </row>
    <row r="33">
      <c r="A33" s="5" t="inlineStr">
        <is>
          <t>• Comisión Setup: 20% del Setup Fee cobrado</t>
        </is>
      </c>
    </row>
    <row r="34">
      <c r="A34" s="5" t="inlineStr">
        <is>
          <t>• Residual: 6% de la cuota mensual (cada mes que permanezca activo)</t>
        </is>
      </c>
    </row>
    <row r="35">
      <c r="A35" s="5" t="inlineStr">
        <is>
          <t>• Clawback: Si cancela en 60 días por mal fit → 50% de comisión setup devuelta</t>
        </is>
      </c>
    </row>
    <row r="36">
      <c r="A36" s="5" t="inlineStr">
        <is>
          <t>• Comisiones solo sobre dinero COBRADO (no facturado)</t>
        </is>
      </c>
    </row>
    <row r="37">
      <c r="A37" s="5" t="inlineStr">
        <is>
          <t>• No hay comisión sobre ad spend, fees de terceros ni reembolsos</t>
        </is>
      </c>
    </row>
  </sheetData>
  <dataValidations count="1">
    <dataValidation sqref="E6 E7 E8 E9 E10 E11 E12 E13 E14 E15 E16 E1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  <col width="18" customWidth="1" min="7" max="7"/>
    <col width="18" customWidth="1" min="8" max="8"/>
    <col width="20" customWidth="1" min="9" max="9"/>
  </cols>
  <sheetData>
    <row r="1">
      <c r="A1" s="1" t="inlineStr">
        <is>
          <t>CRESCA — CALCULADORA DE COMISIONES (Rep Fundador ES)</t>
        </is>
      </c>
    </row>
    <row r="2">
      <c r="A2" s="3" t="inlineStr">
        <is>
          <t>Ingresa cada venta cerrada. Las comisiones se calculan automáticamente con 20%/6%.</t>
        </is>
      </c>
    </row>
    <row r="4">
      <c r="A4" s="9" t="inlineStr">
        <is>
          <t>Rep:</t>
        </is>
      </c>
      <c r="B4" s="11" t="n"/>
      <c r="D4" s="9" t="inlineStr">
        <is>
          <t>Base:</t>
        </is>
      </c>
      <c r="E4" s="12" t="n">
        <v>600</v>
      </c>
      <c r="G4" s="9" t="inlineStr">
        <is>
          <t>Mes:</t>
        </is>
      </c>
      <c r="H4" s="11" t="n"/>
    </row>
    <row r="6">
      <c r="A6" s="4" t="inlineStr">
        <is>
          <t>#</t>
        </is>
      </c>
      <c r="B6" s="4" t="inlineStr">
        <is>
          <t>Cliente</t>
        </is>
      </c>
      <c r="C6" s="4" t="inlineStr">
        <is>
          <t>Paquete</t>
        </is>
      </c>
      <c r="D6" s="4" t="inlineStr">
        <is>
          <t>Setup Fee ($)</t>
        </is>
      </c>
      <c r="E6" s="4" t="inlineStr">
        <is>
          <t>Cuota Mensual ($)</t>
        </is>
      </c>
      <c r="F6" s="4" t="inlineStr">
        <is>
          <t>¿Cerrado?</t>
        </is>
      </c>
      <c r="G6" s="4" t="inlineStr">
        <is>
          <t>Comisión Setup ($)</t>
        </is>
      </c>
      <c r="H6" s="4" t="inlineStr">
        <is>
          <t>Residual ($/mes)</t>
        </is>
      </c>
      <c r="I6" s="4" t="inlineStr">
        <is>
          <t>Total 12m ($)</t>
        </is>
      </c>
    </row>
    <row r="7">
      <c r="A7" s="5" t="n">
        <v>1</v>
      </c>
      <c r="B7" s="7" t="inlineStr"/>
      <c r="C7" s="7" t="inlineStr"/>
      <c r="D7" s="6" t="inlineStr"/>
      <c r="E7" s="6" t="inlineStr"/>
      <c r="F7" s="7" t="inlineStr"/>
      <c r="G7" s="8">
        <f>IF(UPPER(F7)="SÍ",D7*0.20,IF(UPPER(F7)="SI",D7*0.20,0))</f>
        <v/>
      </c>
      <c r="H7" s="8">
        <f>IF(UPPER(F7)="SÍ",E7*0.06,IF(UPPER(F7)="SI",E7*0.06,0))</f>
        <v/>
      </c>
      <c r="I7" s="8">
        <f>IF(UPPER(F7)="SÍ",G7+H7*12,IF(UPPER(F7)="SI",G7+H7*12,0))</f>
        <v/>
      </c>
    </row>
    <row r="8">
      <c r="A8" s="5" t="n">
        <v>2</v>
      </c>
      <c r="B8" s="7" t="inlineStr"/>
      <c r="C8" s="7" t="inlineStr"/>
      <c r="D8" s="6" t="inlineStr"/>
      <c r="E8" s="6" t="inlineStr"/>
      <c r="F8" s="7" t="inlineStr"/>
      <c r="G8" s="8">
        <f>IF(UPPER(F8)="SÍ",D8*0.20,IF(UPPER(F8)="SI",D8*0.20,0))</f>
        <v/>
      </c>
      <c r="H8" s="8">
        <f>IF(UPPER(F8)="SÍ",E8*0.06,IF(UPPER(F8)="SI",E8*0.06,0))</f>
        <v/>
      </c>
      <c r="I8" s="8">
        <f>IF(UPPER(F8)="SÍ",G8+H8*12,IF(UPPER(F8)="SI",G8+H8*12,0))</f>
        <v/>
      </c>
    </row>
    <row r="9">
      <c r="A9" s="5" t="n">
        <v>3</v>
      </c>
      <c r="B9" s="7" t="inlineStr"/>
      <c r="C9" s="7" t="inlineStr"/>
      <c r="D9" s="6" t="inlineStr"/>
      <c r="E9" s="6" t="inlineStr"/>
      <c r="F9" s="7" t="inlineStr"/>
      <c r="G9" s="8">
        <f>IF(UPPER(F9)="SÍ",D9*0.20,IF(UPPER(F9)="SI",D9*0.20,0))</f>
        <v/>
      </c>
      <c r="H9" s="8">
        <f>IF(UPPER(F9)="SÍ",E9*0.06,IF(UPPER(F9)="SI",E9*0.06,0))</f>
        <v/>
      </c>
      <c r="I9" s="8">
        <f>IF(UPPER(F9)="SÍ",G9+H9*12,IF(UPPER(F9)="SI",G9+H9*12,0))</f>
        <v/>
      </c>
    </row>
    <row r="10">
      <c r="A10" s="5" t="n">
        <v>4</v>
      </c>
      <c r="B10" s="7" t="inlineStr"/>
      <c r="C10" s="7" t="inlineStr"/>
      <c r="D10" s="6" t="inlineStr"/>
      <c r="E10" s="6" t="inlineStr"/>
      <c r="F10" s="7" t="inlineStr"/>
      <c r="G10" s="8">
        <f>IF(UPPER(F10)="SÍ",D10*0.20,IF(UPPER(F10)="SI",D10*0.20,0))</f>
        <v/>
      </c>
      <c r="H10" s="8">
        <f>IF(UPPER(F10)="SÍ",E10*0.06,IF(UPPER(F10)="SI",E10*0.06,0))</f>
        <v/>
      </c>
      <c r="I10" s="8">
        <f>IF(UPPER(F10)="SÍ",G10+H10*12,IF(UPPER(F10)="SI",G10+H10*12,0))</f>
        <v/>
      </c>
    </row>
    <row r="11">
      <c r="A11" s="5" t="n">
        <v>5</v>
      </c>
      <c r="B11" s="7" t="inlineStr"/>
      <c r="C11" s="7" t="inlineStr"/>
      <c r="D11" s="6" t="inlineStr"/>
      <c r="E11" s="6" t="inlineStr"/>
      <c r="F11" s="7" t="inlineStr"/>
      <c r="G11" s="8">
        <f>IF(UPPER(F11)="SÍ",D11*0.20,IF(UPPER(F11)="SI",D11*0.20,0))</f>
        <v/>
      </c>
      <c r="H11" s="8">
        <f>IF(UPPER(F11)="SÍ",E11*0.06,IF(UPPER(F11)="SI",E11*0.06,0))</f>
        <v/>
      </c>
      <c r="I11" s="8">
        <f>IF(UPPER(F11)="SÍ",G11+H11*12,IF(UPPER(F11)="SI",G11+H11*12,0))</f>
        <v/>
      </c>
    </row>
    <row r="12">
      <c r="A12" s="5" t="n">
        <v>6</v>
      </c>
      <c r="B12" s="7" t="inlineStr"/>
      <c r="C12" s="7" t="inlineStr"/>
      <c r="D12" s="6" t="inlineStr"/>
      <c r="E12" s="6" t="inlineStr"/>
      <c r="F12" s="7" t="inlineStr"/>
      <c r="G12" s="8">
        <f>IF(UPPER(F12)="SÍ",D12*0.20,IF(UPPER(F12)="SI",D12*0.20,0))</f>
        <v/>
      </c>
      <c r="H12" s="8">
        <f>IF(UPPER(F12)="SÍ",E12*0.06,IF(UPPER(F12)="SI",E12*0.06,0))</f>
        <v/>
      </c>
      <c r="I12" s="8">
        <f>IF(UPPER(F12)="SÍ",G12+H12*12,IF(UPPER(F12)="SI",G12+H12*12,0))</f>
        <v/>
      </c>
    </row>
    <row r="13">
      <c r="A13" s="5" t="n">
        <v>7</v>
      </c>
      <c r="B13" s="7" t="inlineStr"/>
      <c r="C13" s="7" t="inlineStr"/>
      <c r="D13" s="6" t="inlineStr"/>
      <c r="E13" s="6" t="inlineStr"/>
      <c r="F13" s="7" t="inlineStr"/>
      <c r="G13" s="8">
        <f>IF(UPPER(F13)="SÍ",D13*0.20,IF(UPPER(F13)="SI",D13*0.20,0))</f>
        <v/>
      </c>
      <c r="H13" s="8">
        <f>IF(UPPER(F13)="SÍ",E13*0.06,IF(UPPER(F13)="SI",E13*0.06,0))</f>
        <v/>
      </c>
      <c r="I13" s="8">
        <f>IF(UPPER(F13)="SÍ",G13+H13*12,IF(UPPER(F13)="SI",G13+H13*12,0))</f>
        <v/>
      </c>
    </row>
    <row r="14">
      <c r="A14" s="5" t="n">
        <v>8</v>
      </c>
      <c r="B14" s="7" t="inlineStr"/>
      <c r="C14" s="7" t="inlineStr"/>
      <c r="D14" s="6" t="inlineStr"/>
      <c r="E14" s="6" t="inlineStr"/>
      <c r="F14" s="7" t="inlineStr"/>
      <c r="G14" s="8">
        <f>IF(UPPER(F14)="SÍ",D14*0.20,IF(UPPER(F14)="SI",D14*0.20,0))</f>
        <v/>
      </c>
      <c r="H14" s="8">
        <f>IF(UPPER(F14)="SÍ",E14*0.06,IF(UPPER(F14)="SI",E14*0.06,0))</f>
        <v/>
      </c>
      <c r="I14" s="8">
        <f>IF(UPPER(F14)="SÍ",G14+H14*12,IF(UPPER(F14)="SI",G14+H14*12,0))</f>
        <v/>
      </c>
    </row>
    <row r="15">
      <c r="A15" s="5" t="n">
        <v>9</v>
      </c>
      <c r="B15" s="7" t="inlineStr"/>
      <c r="C15" s="7" t="inlineStr"/>
      <c r="D15" s="6" t="inlineStr"/>
      <c r="E15" s="6" t="inlineStr"/>
      <c r="F15" s="7" t="inlineStr"/>
      <c r="G15" s="8">
        <f>IF(UPPER(F15)="SÍ",D15*0.20,IF(UPPER(F15)="SI",D15*0.20,0))</f>
        <v/>
      </c>
      <c r="H15" s="8">
        <f>IF(UPPER(F15)="SÍ",E15*0.06,IF(UPPER(F15)="SI",E15*0.06,0))</f>
        <v/>
      </c>
      <c r="I15" s="8">
        <f>IF(UPPER(F15)="SÍ",G15+H15*12,IF(UPPER(F15)="SI",G15+H15*12,0))</f>
        <v/>
      </c>
    </row>
    <row r="16">
      <c r="A16" s="5" t="n">
        <v>10</v>
      </c>
      <c r="B16" s="7" t="inlineStr"/>
      <c r="C16" s="7" t="inlineStr"/>
      <c r="D16" s="6" t="inlineStr"/>
      <c r="E16" s="6" t="inlineStr"/>
      <c r="F16" s="7" t="inlineStr"/>
      <c r="G16" s="8">
        <f>IF(UPPER(F16)="SÍ",D16*0.20,IF(UPPER(F16)="SI",D16*0.20,0))</f>
        <v/>
      </c>
      <c r="H16" s="8">
        <f>IF(UPPER(F16)="SÍ",E16*0.06,IF(UPPER(F16)="SI",E16*0.06,0))</f>
        <v/>
      </c>
      <c r="I16" s="8">
        <f>IF(UPPER(F16)="SÍ",G16+H16*12,IF(UPPER(F16)="SI",G16+H16*12,0))</f>
        <v/>
      </c>
    </row>
    <row r="17">
      <c r="A17" s="5" t="n">
        <v>11</v>
      </c>
      <c r="B17" s="7" t="inlineStr"/>
      <c r="C17" s="7" t="inlineStr"/>
      <c r="D17" s="6" t="inlineStr"/>
      <c r="E17" s="6" t="inlineStr"/>
      <c r="F17" s="7" t="inlineStr"/>
      <c r="G17" s="8">
        <f>IF(UPPER(F17)="SÍ",D17*0.20,IF(UPPER(F17)="SI",D17*0.20,0))</f>
        <v/>
      </c>
      <c r="H17" s="8">
        <f>IF(UPPER(F17)="SÍ",E17*0.06,IF(UPPER(F17)="SI",E17*0.06,0))</f>
        <v/>
      </c>
      <c r="I17" s="8">
        <f>IF(UPPER(F17)="SÍ",G17+H17*12,IF(UPPER(F17)="SI",G17+H17*12,0))</f>
        <v/>
      </c>
    </row>
    <row r="18">
      <c r="A18" s="5" t="n">
        <v>12</v>
      </c>
      <c r="B18" s="7" t="inlineStr"/>
      <c r="C18" s="7" t="inlineStr"/>
      <c r="D18" s="6" t="inlineStr"/>
      <c r="E18" s="6" t="inlineStr"/>
      <c r="F18" s="7" t="inlineStr"/>
      <c r="G18" s="8">
        <f>IF(UPPER(F18)="SÍ",D18*0.20,IF(UPPER(F18)="SI",D18*0.20,0))</f>
        <v/>
      </c>
      <c r="H18" s="8">
        <f>IF(UPPER(F18)="SÍ",E18*0.06,IF(UPPER(F18)="SI",E18*0.06,0))</f>
        <v/>
      </c>
      <c r="I18" s="8">
        <f>IF(UPPER(F18)="SÍ",G18+H18*12,IF(UPPER(F18)="SI",G18+H18*12,0))</f>
        <v/>
      </c>
    </row>
    <row r="19">
      <c r="A19" s="5" t="n">
        <v>13</v>
      </c>
      <c r="B19" s="7" t="inlineStr"/>
      <c r="C19" s="7" t="inlineStr"/>
      <c r="D19" s="6" t="inlineStr"/>
      <c r="E19" s="6" t="inlineStr"/>
      <c r="F19" s="7" t="inlineStr"/>
      <c r="G19" s="8">
        <f>IF(UPPER(F19)="SÍ",D19*0.20,IF(UPPER(F19)="SI",D19*0.20,0))</f>
        <v/>
      </c>
      <c r="H19" s="8">
        <f>IF(UPPER(F19)="SÍ",E19*0.06,IF(UPPER(F19)="SI",E19*0.06,0))</f>
        <v/>
      </c>
      <c r="I19" s="8">
        <f>IF(UPPER(F19)="SÍ",G19+H19*12,IF(UPPER(F19)="SI",G19+H19*12,0))</f>
        <v/>
      </c>
    </row>
    <row r="20">
      <c r="A20" s="5" t="n">
        <v>14</v>
      </c>
      <c r="B20" s="7" t="inlineStr"/>
      <c r="C20" s="7" t="inlineStr"/>
      <c r="D20" s="6" t="inlineStr"/>
      <c r="E20" s="6" t="inlineStr"/>
      <c r="F20" s="7" t="inlineStr"/>
      <c r="G20" s="8">
        <f>IF(UPPER(F20)="SÍ",D20*0.20,IF(UPPER(F20)="SI",D20*0.20,0))</f>
        <v/>
      </c>
      <c r="H20" s="8">
        <f>IF(UPPER(F20)="SÍ",E20*0.06,IF(UPPER(F20)="SI",E20*0.06,0))</f>
        <v/>
      </c>
      <c r="I20" s="8">
        <f>IF(UPPER(F20)="SÍ",G20+H20*12,IF(UPPER(F20)="SI",G20+H20*12,0))</f>
        <v/>
      </c>
    </row>
    <row r="21">
      <c r="A21" s="5" t="n">
        <v>15</v>
      </c>
      <c r="B21" s="7" t="inlineStr"/>
      <c r="C21" s="7" t="inlineStr"/>
      <c r="D21" s="6" t="inlineStr"/>
      <c r="E21" s="6" t="inlineStr"/>
      <c r="F21" s="7" t="inlineStr"/>
      <c r="G21" s="8">
        <f>IF(UPPER(F21)="SÍ",D21*0.20,IF(UPPER(F21)="SI",D21*0.20,0))</f>
        <v/>
      </c>
      <c r="H21" s="8">
        <f>IF(UPPER(F21)="SÍ",E21*0.06,IF(UPPER(F21)="SI",E21*0.06,0))</f>
        <v/>
      </c>
      <c r="I21" s="8">
        <f>IF(UPPER(F21)="SÍ",G21+H21*12,IF(UPPER(F21)="SI",G21+H21*12,0))</f>
        <v/>
      </c>
    </row>
    <row r="22">
      <c r="A22" s="5" t="n">
        <v>16</v>
      </c>
      <c r="B22" s="7" t="inlineStr"/>
      <c r="C22" s="7" t="inlineStr"/>
      <c r="D22" s="6" t="inlineStr"/>
      <c r="E22" s="6" t="inlineStr"/>
      <c r="F22" s="7" t="inlineStr"/>
      <c r="G22" s="8">
        <f>IF(UPPER(F22)="SÍ",D22*0.20,IF(UPPER(F22)="SI",D22*0.20,0))</f>
        <v/>
      </c>
      <c r="H22" s="8">
        <f>IF(UPPER(F22)="SÍ",E22*0.06,IF(UPPER(F22)="SI",E22*0.06,0))</f>
        <v/>
      </c>
      <c r="I22" s="8">
        <f>IF(UPPER(F22)="SÍ",G22+H22*12,IF(UPPER(F22)="SI",G22+H22*12,0))</f>
        <v/>
      </c>
    </row>
    <row r="23">
      <c r="A23" s="5" t="n">
        <v>17</v>
      </c>
      <c r="B23" s="7" t="inlineStr"/>
      <c r="C23" s="7" t="inlineStr"/>
      <c r="D23" s="6" t="inlineStr"/>
      <c r="E23" s="6" t="inlineStr"/>
      <c r="F23" s="7" t="inlineStr"/>
      <c r="G23" s="8">
        <f>IF(UPPER(F23)="SÍ",D23*0.20,IF(UPPER(F23)="SI",D23*0.20,0))</f>
        <v/>
      </c>
      <c r="H23" s="8">
        <f>IF(UPPER(F23)="SÍ",E23*0.06,IF(UPPER(F23)="SI",E23*0.06,0))</f>
        <v/>
      </c>
      <c r="I23" s="8">
        <f>IF(UPPER(F23)="SÍ",G23+H23*12,IF(UPPER(F23)="SI",G23+H23*12,0))</f>
        <v/>
      </c>
    </row>
    <row r="24">
      <c r="A24" s="5" t="n">
        <v>18</v>
      </c>
      <c r="B24" s="7" t="inlineStr"/>
      <c r="C24" s="7" t="inlineStr"/>
      <c r="D24" s="6" t="inlineStr"/>
      <c r="E24" s="6" t="inlineStr"/>
      <c r="F24" s="7" t="inlineStr"/>
      <c r="G24" s="8">
        <f>IF(UPPER(F24)="SÍ",D24*0.20,IF(UPPER(F24)="SI",D24*0.20,0))</f>
        <v/>
      </c>
      <c r="H24" s="8">
        <f>IF(UPPER(F24)="SÍ",E24*0.06,IF(UPPER(F24)="SI",E24*0.06,0))</f>
        <v/>
      </c>
      <c r="I24" s="8">
        <f>IF(UPPER(F24)="SÍ",G24+H24*12,IF(UPPER(F24)="SI",G24+H24*12,0))</f>
        <v/>
      </c>
    </row>
    <row r="25">
      <c r="A25" s="5" t="n">
        <v>19</v>
      </c>
      <c r="B25" s="7" t="inlineStr"/>
      <c r="C25" s="7" t="inlineStr"/>
      <c r="D25" s="6" t="inlineStr"/>
      <c r="E25" s="6" t="inlineStr"/>
      <c r="F25" s="7" t="inlineStr"/>
      <c r="G25" s="8">
        <f>IF(UPPER(F25)="SÍ",D25*0.20,IF(UPPER(F25)="SI",D25*0.20,0))</f>
        <v/>
      </c>
      <c r="H25" s="8">
        <f>IF(UPPER(F25)="SÍ",E25*0.06,IF(UPPER(F25)="SI",E25*0.06,0))</f>
        <v/>
      </c>
      <c r="I25" s="8">
        <f>IF(UPPER(F25)="SÍ",G25+H25*12,IF(UPPER(F25)="SI",G25+H25*12,0))</f>
        <v/>
      </c>
    </row>
    <row r="26">
      <c r="A26" s="5" t="n">
        <v>20</v>
      </c>
      <c r="B26" s="7" t="inlineStr"/>
      <c r="C26" s="7" t="inlineStr"/>
      <c r="D26" s="6" t="inlineStr"/>
      <c r="E26" s="6" t="inlineStr"/>
      <c r="F26" s="7" t="inlineStr"/>
      <c r="G26" s="8">
        <f>IF(UPPER(F26)="SÍ",D26*0.20,IF(UPPER(F26)="SI",D26*0.20,0))</f>
        <v/>
      </c>
      <c r="H26" s="8">
        <f>IF(UPPER(F26)="SÍ",E26*0.06,IF(UPPER(F26)="SI",E26*0.06,0))</f>
        <v/>
      </c>
      <c r="I26" s="8">
        <f>IF(UPPER(F26)="SÍ",G26+H26*12,IF(UPPER(F26)="SI",G26+H26*12,0))</f>
        <v/>
      </c>
    </row>
    <row r="27">
      <c r="A27" s="5" t="n">
        <v>21</v>
      </c>
      <c r="B27" s="7" t="inlineStr"/>
      <c r="C27" s="7" t="inlineStr"/>
      <c r="D27" s="6" t="inlineStr"/>
      <c r="E27" s="6" t="inlineStr"/>
      <c r="F27" s="7" t="inlineStr"/>
      <c r="G27" s="8">
        <f>IF(UPPER(F27)="SÍ",D27*0.20,IF(UPPER(F27)="SI",D27*0.20,0))</f>
        <v/>
      </c>
      <c r="H27" s="8">
        <f>IF(UPPER(F27)="SÍ",E27*0.06,IF(UPPER(F27)="SI",E27*0.06,0))</f>
        <v/>
      </c>
      <c r="I27" s="8">
        <f>IF(UPPER(F27)="SÍ",G27+H27*12,IF(UPPER(F27)="SI",G27+H27*12,0))</f>
        <v/>
      </c>
    </row>
    <row r="28">
      <c r="A28" s="5" t="n">
        <v>22</v>
      </c>
      <c r="B28" s="7" t="inlineStr"/>
      <c r="C28" s="7" t="inlineStr"/>
      <c r="D28" s="6" t="inlineStr"/>
      <c r="E28" s="6" t="inlineStr"/>
      <c r="F28" s="7" t="inlineStr"/>
      <c r="G28" s="8">
        <f>IF(UPPER(F28)="SÍ",D28*0.20,IF(UPPER(F28)="SI",D28*0.20,0))</f>
        <v/>
      </c>
      <c r="H28" s="8">
        <f>IF(UPPER(F28)="SÍ",E28*0.06,IF(UPPER(F28)="SI",E28*0.06,0))</f>
        <v/>
      </c>
      <c r="I28" s="8">
        <f>IF(UPPER(F28)="SÍ",G28+H28*12,IF(UPPER(F28)="SI",G28+H28*12,0))</f>
        <v/>
      </c>
    </row>
    <row r="29">
      <c r="A29" s="5" t="n">
        <v>23</v>
      </c>
      <c r="B29" s="7" t="inlineStr"/>
      <c r="C29" s="7" t="inlineStr"/>
      <c r="D29" s="6" t="inlineStr"/>
      <c r="E29" s="6" t="inlineStr"/>
      <c r="F29" s="7" t="inlineStr"/>
      <c r="G29" s="8">
        <f>IF(UPPER(F29)="SÍ",D29*0.20,IF(UPPER(F29)="SI",D29*0.20,0))</f>
        <v/>
      </c>
      <c r="H29" s="8">
        <f>IF(UPPER(F29)="SÍ",E29*0.06,IF(UPPER(F29)="SI",E29*0.06,0))</f>
        <v/>
      </c>
      <c r="I29" s="8">
        <f>IF(UPPER(F29)="SÍ",G29+H29*12,IF(UPPER(F29)="SI",G29+H29*12,0))</f>
        <v/>
      </c>
    </row>
    <row r="30">
      <c r="A30" s="5" t="n">
        <v>24</v>
      </c>
      <c r="B30" s="7" t="inlineStr"/>
      <c r="C30" s="7" t="inlineStr"/>
      <c r="D30" s="6" t="inlineStr"/>
      <c r="E30" s="6" t="inlineStr"/>
      <c r="F30" s="7" t="inlineStr"/>
      <c r="G30" s="8">
        <f>IF(UPPER(F30)="SÍ",D30*0.20,IF(UPPER(F30)="SI",D30*0.20,0))</f>
        <v/>
      </c>
      <c r="H30" s="8">
        <f>IF(UPPER(F30)="SÍ",E30*0.06,IF(UPPER(F30)="SI",E30*0.06,0))</f>
        <v/>
      </c>
      <c r="I30" s="8">
        <f>IF(UPPER(F30)="SÍ",G30+H30*12,IF(UPPER(F30)="SI",G30+H30*12,0))</f>
        <v/>
      </c>
    </row>
    <row r="31">
      <c r="A31" s="5" t="n">
        <v>25</v>
      </c>
      <c r="B31" s="7" t="inlineStr"/>
      <c r="C31" s="7" t="inlineStr"/>
      <c r="D31" s="6" t="inlineStr"/>
      <c r="E31" s="6" t="inlineStr"/>
      <c r="F31" s="7" t="inlineStr"/>
      <c r="G31" s="8">
        <f>IF(UPPER(F31)="SÍ",D31*0.20,IF(UPPER(F31)="SI",D31*0.20,0))</f>
        <v/>
      </c>
      <c r="H31" s="8">
        <f>IF(UPPER(F31)="SÍ",E31*0.06,IF(UPPER(F31)="SI",E31*0.06,0))</f>
        <v/>
      </c>
      <c r="I31" s="8">
        <f>IF(UPPER(F31)="SÍ",G31+H31*12,IF(UPPER(F31)="SI",G31+H31*12,0))</f>
        <v/>
      </c>
    </row>
    <row r="32">
      <c r="A32" s="5" t="n">
        <v>26</v>
      </c>
      <c r="B32" s="7" t="inlineStr"/>
      <c r="C32" s="7" t="inlineStr"/>
      <c r="D32" s="6" t="inlineStr"/>
      <c r="E32" s="6" t="inlineStr"/>
      <c r="F32" s="7" t="inlineStr"/>
      <c r="G32" s="8">
        <f>IF(UPPER(F32)="SÍ",D32*0.20,IF(UPPER(F32)="SI",D32*0.20,0))</f>
        <v/>
      </c>
      <c r="H32" s="8">
        <f>IF(UPPER(F32)="SÍ",E32*0.06,IF(UPPER(F32)="SI",E32*0.06,0))</f>
        <v/>
      </c>
      <c r="I32" s="8">
        <f>IF(UPPER(F32)="SÍ",G32+H32*12,IF(UPPER(F32)="SI",G32+H32*12,0))</f>
        <v/>
      </c>
    </row>
    <row r="33">
      <c r="A33" s="5" t="n">
        <v>27</v>
      </c>
      <c r="B33" s="7" t="inlineStr"/>
      <c r="C33" s="7" t="inlineStr"/>
      <c r="D33" s="6" t="inlineStr"/>
      <c r="E33" s="6" t="inlineStr"/>
      <c r="F33" s="7" t="inlineStr"/>
      <c r="G33" s="8">
        <f>IF(UPPER(F33)="SÍ",D33*0.20,IF(UPPER(F33)="SI",D33*0.20,0))</f>
        <v/>
      </c>
      <c r="H33" s="8">
        <f>IF(UPPER(F33)="SÍ",E33*0.06,IF(UPPER(F33)="SI",E33*0.06,0))</f>
        <v/>
      </c>
      <c r="I33" s="8">
        <f>IF(UPPER(F33)="SÍ",G33+H33*12,IF(UPPER(F33)="SI",G33+H33*12,0))</f>
        <v/>
      </c>
    </row>
    <row r="34">
      <c r="A34" s="5" t="n">
        <v>28</v>
      </c>
      <c r="B34" s="7" t="inlineStr"/>
      <c r="C34" s="7" t="inlineStr"/>
      <c r="D34" s="6" t="inlineStr"/>
      <c r="E34" s="6" t="inlineStr"/>
      <c r="F34" s="7" t="inlineStr"/>
      <c r="G34" s="8">
        <f>IF(UPPER(F34)="SÍ",D34*0.20,IF(UPPER(F34)="SI",D34*0.20,0))</f>
        <v/>
      </c>
      <c r="H34" s="8">
        <f>IF(UPPER(F34)="SÍ",E34*0.06,IF(UPPER(F34)="SI",E34*0.06,0))</f>
        <v/>
      </c>
      <c r="I34" s="8">
        <f>IF(UPPER(F34)="SÍ",G34+H34*12,IF(UPPER(F34)="SI",G34+H34*12,0))</f>
        <v/>
      </c>
    </row>
    <row r="35">
      <c r="A35" s="5" t="n">
        <v>29</v>
      </c>
      <c r="B35" s="7" t="inlineStr"/>
      <c r="C35" s="7" t="inlineStr"/>
      <c r="D35" s="6" t="inlineStr"/>
      <c r="E35" s="6" t="inlineStr"/>
      <c r="F35" s="7" t="inlineStr"/>
      <c r="G35" s="8">
        <f>IF(UPPER(F35)="SÍ",D35*0.20,IF(UPPER(F35)="SI",D35*0.20,0))</f>
        <v/>
      </c>
      <c r="H35" s="8">
        <f>IF(UPPER(F35)="SÍ",E35*0.06,IF(UPPER(F35)="SI",E35*0.06,0))</f>
        <v/>
      </c>
      <c r="I35" s="8">
        <f>IF(UPPER(F35)="SÍ",G35+H35*12,IF(UPPER(F35)="SI",G35+H35*12,0))</f>
        <v/>
      </c>
    </row>
    <row r="36">
      <c r="A36" s="5" t="n">
        <v>30</v>
      </c>
      <c r="B36" s="7" t="inlineStr"/>
      <c r="C36" s="7" t="inlineStr"/>
      <c r="D36" s="6" t="inlineStr"/>
      <c r="E36" s="6" t="inlineStr"/>
      <c r="F36" s="7" t="inlineStr"/>
      <c r="G36" s="8">
        <f>IF(UPPER(F36)="SÍ",D36*0.20,IF(UPPER(F36)="SI",D36*0.20,0))</f>
        <v/>
      </c>
      <c r="H36" s="8">
        <f>IF(UPPER(F36)="SÍ",E36*0.06,IF(UPPER(F36)="SI",E36*0.06,0))</f>
        <v/>
      </c>
      <c r="I36" s="8">
        <f>IF(UPPER(F36)="SÍ",G36+H36*12,IF(UPPER(F36)="SI",G36+H36*12,0))</f>
        <v/>
      </c>
    </row>
    <row r="38">
      <c r="A38" s="9" t="inlineStr">
        <is>
          <t>📊 RESUMEN DEL MES</t>
        </is>
      </c>
    </row>
    <row r="39">
      <c r="B39" s="13" t="inlineStr">
        <is>
          <t>Total Clientes Cerrados:</t>
        </is>
      </c>
      <c r="E39" s="14">
        <f>COUNTIF(F7:F36,"Sí")+COUNTIF(F7:F36,"Si")</f>
        <v/>
      </c>
    </row>
    <row r="40">
      <c r="B40" s="13" t="inlineStr">
        <is>
          <t>Total Setup Fees:</t>
        </is>
      </c>
      <c r="E40" s="15">
        <f>SUMPRODUCT((UPPER(F7:F36)="SÍ")*D7:D36)+SUMPRODUCT((UPPER(F7:F36)="SI")*D7:D36)</f>
        <v/>
      </c>
    </row>
    <row r="41">
      <c r="B41" s="13" t="inlineStr">
        <is>
          <t>Total MRR Generado:</t>
        </is>
      </c>
      <c r="E41" s="15">
        <f>SUMPRODUCT((UPPER(F7:F36)="SÍ")*E7:E36)+SUMPRODUCT((UPPER(F7:F36)="SI")*E7:E36)</f>
        <v/>
      </c>
    </row>
    <row r="43">
      <c r="B43" s="13" t="inlineStr">
        <is>
          <t>💰 TUS GANANCIAS</t>
        </is>
      </c>
    </row>
    <row r="44">
      <c r="B44" s="5" t="inlineStr">
        <is>
          <t>Salario Base:</t>
        </is>
      </c>
      <c r="E44" s="8">
        <f>E4</f>
        <v/>
      </c>
    </row>
    <row r="45">
      <c r="B45" s="5" t="inlineStr">
        <is>
          <t>Total Comisión Setup (20%):</t>
        </is>
      </c>
      <c r="E45" s="8">
        <f>SUM(G7:G36)</f>
        <v/>
      </c>
    </row>
    <row r="46">
      <c r="B46" s="5" t="inlineStr">
        <is>
          <t>Total Residual Mensual (6%):</t>
        </is>
      </c>
      <c r="E46" s="8">
        <f>SUM(H7:H36)</f>
        <v/>
      </c>
    </row>
    <row r="48">
      <c r="B48" s="16" t="inlineStr">
        <is>
          <t>🏆 TOTAL GANANCIAS DEL MES:</t>
        </is>
      </c>
      <c r="E48" s="17">
        <f>E44+E45+E46</f>
        <v/>
      </c>
    </row>
    <row r="50">
      <c r="B50" s="13" t="inlineStr">
        <is>
          <t>Proyección 12 Meses (Base + Residual acum.):</t>
        </is>
      </c>
      <c r="E50" s="8">
        <f>E44*12+E45+E46*12</f>
        <v/>
      </c>
    </row>
  </sheetData>
  <mergeCells count="2">
    <mergeCell ref="A1:I1"/>
    <mergeCell ref="A38:C38"/>
  </mergeCells>
  <dataValidations count="2">
    <dataValidation sqref="C7 C8 C9 C10 C11 C12 C13 C14 C15 C16 C17 C18 C19 C20 C21 C22 C23 C24 C25 C26 C27 C28 C29 C30 C31 C32 C33 C34 C35 C36" showDropDown="0" showInputMessage="0" showErrorMessage="0" allowBlank="0" type="list">
      <formula1>"STARTER DIY Lite,STARTER Assist,STARTER Presence,STARTER Pro,GROWTH Foundation,GROWTH +1 WF,GROWTH +2 WF,PRO AUTOMATION,Add-On Marketing,Add-On Workflows"</formula1>
    </dataValidation>
    <dataValidation sqref="F7 F8 F9 F10 F11 F12 F13 F14 F15 F16 F17 F18 F19 F20 F21 F22 F23 F24 F25 F26 F27 F28 F29 F30 F31 F32 F33 F34 F35 F36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CRESCA — Referencia de Paquetes y Precios</t>
        </is>
      </c>
    </row>
    <row r="3">
      <c r="A3" s="4" t="inlineStr">
        <is>
          <t>Paquete / Tier</t>
        </is>
      </c>
      <c r="B3" s="4" t="inlineStr">
        <is>
          <t>Setup Fee</t>
        </is>
      </c>
      <c r="C3" s="4" t="inlineStr">
        <is>
          <t>Mensual</t>
        </is>
      </c>
      <c r="D3" s="4" t="inlineStr">
        <is>
          <t>Workflows</t>
        </is>
      </c>
      <c r="E3" s="4" t="inlineStr">
        <is>
          <t>Notas</t>
        </is>
      </c>
    </row>
    <row r="4">
      <c r="A4" s="5" t="inlineStr">
        <is>
          <t>STARTER — DIY Lite</t>
        </is>
      </c>
      <c r="B4" s="5" t="inlineStr">
        <is>
          <t>$0</t>
        </is>
      </c>
      <c r="C4" s="5" t="inlineStr">
        <is>
          <t>$9.99</t>
        </is>
      </c>
      <c r="D4" s="5" t="inlineStr">
        <is>
          <t>1 Lite</t>
        </is>
      </c>
      <c r="E4" s="5" t="inlineStr">
        <is>
          <t>Ebook + templates</t>
        </is>
      </c>
    </row>
    <row r="5">
      <c r="A5" s="5" t="inlineStr">
        <is>
          <t>STARTER — Starter Assist</t>
        </is>
      </c>
      <c r="B5" s="5" t="inlineStr">
        <is>
          <t>$0–$49</t>
        </is>
      </c>
      <c r="C5" s="5" t="inlineStr">
        <is>
          <t>$19.99</t>
        </is>
      </c>
      <c r="D5" s="5" t="inlineStr">
        <is>
          <t>1 Lite</t>
        </is>
      </c>
      <c r="E5" s="5" t="inlineStr">
        <is>
          <t>+ Google Business</t>
        </is>
      </c>
    </row>
    <row r="6">
      <c r="A6" s="5" t="inlineStr">
        <is>
          <t>STARTER — Starter Presence</t>
        </is>
      </c>
      <c r="B6" s="5" t="inlineStr">
        <is>
          <t>$49–$99</t>
        </is>
      </c>
      <c r="C6" s="5" t="inlineStr">
        <is>
          <t>$29.99</t>
        </is>
      </c>
      <c r="D6" s="5" t="inlineStr">
        <is>
          <t>1 Lite</t>
        </is>
      </c>
      <c r="E6" s="5" t="inlineStr">
        <is>
          <t>+ Link hub/booking lite</t>
        </is>
      </c>
    </row>
    <row r="7">
      <c r="A7" s="5" t="inlineStr">
        <is>
          <t>STARTER — Starter Pro</t>
        </is>
      </c>
      <c r="B7" s="5" t="inlineStr">
        <is>
          <t>$99–$199</t>
        </is>
      </c>
      <c r="C7" s="5" t="inlineStr">
        <is>
          <t>$49.99</t>
        </is>
      </c>
      <c r="D7" s="5" t="inlineStr">
        <is>
          <t>1 Lite</t>
        </is>
      </c>
      <c r="E7" s="5" t="inlineStr">
        <is>
          <t>+ Micro-sitio 1 página</t>
        </is>
      </c>
    </row>
    <row r="8">
      <c r="A8" s="5" t="inlineStr">
        <is>
          <t>GROWTH — Foundation</t>
        </is>
      </c>
      <c r="B8" s="5" t="inlineStr">
        <is>
          <t>$199–$299</t>
        </is>
      </c>
      <c r="C8" s="5" t="inlineStr">
        <is>
          <t>$50</t>
        </is>
      </c>
      <c r="D8" s="5" t="inlineStr">
        <is>
          <t>1 Lite</t>
        </is>
      </c>
      <c r="E8" s="5" t="inlineStr">
        <is>
          <t>Website + leads + Google</t>
        </is>
      </c>
    </row>
    <row r="9">
      <c r="A9" s="5" t="inlineStr">
        <is>
          <t>GROWTH — Foundation +1 WF</t>
        </is>
      </c>
      <c r="B9" s="5" t="inlineStr">
        <is>
          <t>$299–$399</t>
        </is>
      </c>
      <c r="C9" s="5" t="inlineStr">
        <is>
          <t>$75</t>
        </is>
      </c>
      <c r="D9" s="5" t="inlineStr">
        <is>
          <t>1 Full</t>
        </is>
      </c>
      <c r="E9" s="5" t="inlineStr">
        <is>
          <t>+ 1 Full Workflow</t>
        </is>
      </c>
    </row>
    <row r="10">
      <c r="A10" s="5" t="inlineStr">
        <is>
          <t>GROWTH — Foundation +2 WF</t>
        </is>
      </c>
      <c r="B10" s="5" t="inlineStr">
        <is>
          <t>$399–$499</t>
        </is>
      </c>
      <c r="C10" s="5" t="inlineStr">
        <is>
          <t>$100</t>
        </is>
      </c>
      <c r="D10" s="5" t="inlineStr">
        <is>
          <t>2 Full</t>
        </is>
      </c>
      <c r="E10" s="5" t="inlineStr">
        <is>
          <t>+ 2 Full Workflows</t>
        </is>
      </c>
    </row>
    <row r="11">
      <c r="A11" s="5" t="inlineStr">
        <is>
          <t>PRO AUTOMATION</t>
        </is>
      </c>
      <c r="B11" s="5" t="inlineStr">
        <is>
          <t>Cotización</t>
        </is>
      </c>
      <c r="C11" s="5" t="inlineStr">
        <is>
          <t>Cotización</t>
        </is>
      </c>
      <c r="D11" s="5" t="inlineStr">
        <is>
          <t>4+</t>
        </is>
      </c>
      <c r="E11" s="5" t="inlineStr">
        <is>
          <t>Auditoría + monitoreo</t>
        </is>
      </c>
    </row>
    <row r="12">
      <c r="A12" s="5" t="inlineStr">
        <is>
          <t>Add-On: Marketing Digital</t>
        </is>
      </c>
      <c r="B12" s="5" t="inlineStr">
        <is>
          <t>Variable</t>
        </is>
      </c>
      <c r="C12" s="5" t="inlineStr">
        <is>
          <t>Variable</t>
        </is>
      </c>
      <c r="D12" s="5" t="inlineStr">
        <is>
          <t>—</t>
        </is>
      </c>
      <c r="E12" s="5" t="inlineStr">
        <is>
          <t>Solo con Growth/Pro</t>
        </is>
      </c>
    </row>
    <row r="13">
      <c r="A13" s="5" t="inlineStr">
        <is>
          <t>Add-On: +1 Workflow</t>
        </is>
      </c>
      <c r="B13" s="5" t="inlineStr">
        <is>
          <t>$0</t>
        </is>
      </c>
      <c r="C13" s="5" t="inlineStr">
        <is>
          <t>$15/mes</t>
        </is>
      </c>
      <c r="D13" s="5" t="inlineStr">
        <is>
          <t>+1 Full</t>
        </is>
      </c>
      <c r="E13" s="5" t="inlineStr">
        <is>
          <t>Growth add-on</t>
        </is>
      </c>
    </row>
    <row r="14">
      <c r="A14" s="5" t="inlineStr">
        <is>
          <t>Add-On: +2 Workflows</t>
        </is>
      </c>
      <c r="B14" s="5" t="inlineStr">
        <is>
          <t>$0</t>
        </is>
      </c>
      <c r="C14" s="5" t="inlineStr">
        <is>
          <t>$25/mes</t>
        </is>
      </c>
      <c r="D14" s="5" t="inlineStr">
        <is>
          <t>+2 Full</t>
        </is>
      </c>
      <c r="E14" s="5" t="inlineStr">
        <is>
          <t>Bundle discount</t>
        </is>
      </c>
    </row>
    <row r="15">
      <c r="A15" s="5" t="inlineStr">
        <is>
          <t>Add-On: +5 Workflows</t>
        </is>
      </c>
      <c r="B15" s="5" t="inlineStr">
        <is>
          <t>$0</t>
        </is>
      </c>
      <c r="C15" s="5" t="inlineStr">
        <is>
          <t>$60/mes</t>
        </is>
      </c>
      <c r="D15" s="5" t="inlineStr">
        <is>
          <t>+5 Full</t>
        </is>
      </c>
      <c r="E15" s="5" t="inlineStr">
        <is>
          <t>Bundle discount</t>
        </is>
      </c>
    </row>
    <row r="16">
      <c r="A16" s="5" t="inlineStr">
        <is>
          <t>Add-On: +8 Workflows</t>
        </is>
      </c>
      <c r="B16" s="5" t="inlineStr">
        <is>
          <t>$0</t>
        </is>
      </c>
      <c r="C16" s="5" t="inlineStr">
        <is>
          <t>$90/mes</t>
        </is>
      </c>
      <c r="D16" s="5" t="inlineStr">
        <is>
          <t>+8 Full</t>
        </is>
      </c>
      <c r="E16" s="5" t="inlineStr">
        <is>
          <t>Bundle discount</t>
        </is>
      </c>
    </row>
    <row r="19">
      <c r="A19" s="18" t="inlineStr">
        <is>
          <t>Compensación Rep Fundador ES</t>
        </is>
      </c>
    </row>
    <row r="20">
      <c r="A20" s="5" t="inlineStr">
        <is>
          <t>Salario Base</t>
        </is>
      </c>
      <c r="B20" s="5" t="inlineStr">
        <is>
          <t>$600/mes (garantizado)</t>
        </is>
      </c>
    </row>
    <row r="21">
      <c r="A21" s="5" t="inlineStr">
        <is>
          <t>Comisión Setup</t>
        </is>
      </c>
      <c r="B21" s="5" t="inlineStr">
        <is>
          <t>20% del fee cobrado</t>
        </is>
      </c>
    </row>
    <row r="22">
      <c r="A22" s="5" t="inlineStr">
        <is>
          <t>Comisión Residual</t>
        </is>
      </c>
      <c r="B22" s="5" t="inlineStr">
        <is>
          <t>6% del MRR cobrado</t>
        </is>
      </c>
    </row>
    <row r="23">
      <c r="A23" s="5" t="inlineStr">
        <is>
          <t>Clawback</t>
        </is>
      </c>
      <c r="B23" s="5" t="inlineStr">
        <is>
          <t>50% setup si cancela en 60 días</t>
        </is>
      </c>
    </row>
    <row r="24">
      <c r="A24" s="5" t="inlineStr">
        <is>
          <t>Pago</t>
        </is>
      </c>
      <c r="B24" s="5" t="inlineStr">
        <is>
          <t>Solo sobre dinero cobrado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2026-03-03T22:06:55Z</dcterms:created>
  <dcterms:modified xmlns:dcterms="http://purl.org/dc/terms/" xmlns:xsi="http://www.w3.org/2001/XMLSchema-instance" xsi:type="dcterms:W3CDTF">2026-03-03T22:06:55Z</dcterms:modified>
</cp:coreProperties>
</file>